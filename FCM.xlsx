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Bimo\backupProgram\ptsui\"/>
    </mc:Choice>
  </mc:AlternateContent>
  <xr:revisionPtr revIDLastSave="0" documentId="13_ncr:1_{7C67F4F0-FB7D-4E42-A78F-10372FD9BA4D}" xr6:coauthVersionLast="45" xr6:coauthVersionMax="47" xr10:uidLastSave="{00000000-0000-0000-0000-000000000000}"/>
  <bookViews>
    <workbookView xWindow="28680" yWindow="-120" windowWidth="29040" windowHeight="15840" xr2:uid="{E80D17E1-FB09-4A93-9644-C4BD38ECBE12}"/>
  </bookViews>
  <sheets>
    <sheet name="Lineup" sheetId="3" r:id="rId1"/>
    <sheet name="Ragnarok After Day Break" sheetId="2" state="hidden" r:id="rId2"/>
    <sheet name="2nd Anniversary" sheetId="4" state="hidden" r:id="rId3"/>
    <sheet name="Footyverse" sheetId="5" r:id="rId4"/>
  </sheets>
  <definedNames>
    <definedName name="_xlnm._FilterDatabase" localSheetId="2" hidden="1">'2nd Anniversary'!$A$3:$F$3</definedName>
    <definedName name="_xlnm._FilterDatabase" localSheetId="3" hidden="1">Footyverse!$A$3:$F$3</definedName>
    <definedName name="_xlnm._FilterDatabase" localSheetId="1" hidden="1">'Ragnarok After Day Break'!$A$3:$C$28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9" i="3" l="1"/>
  <c r="G8" i="3"/>
  <c r="F8" i="3"/>
  <c r="E8" i="3"/>
  <c r="D8" i="3"/>
  <c r="E7" i="3"/>
  <c r="F6" i="3"/>
  <c r="E6" i="3"/>
  <c r="E5" i="3"/>
  <c r="F4" i="3"/>
  <c r="E4" i="3"/>
  <c r="E40" i="5" l="1"/>
  <c r="E39" i="5"/>
  <c r="E38" i="5"/>
  <c r="E37" i="5"/>
  <c r="E36" i="5"/>
  <c r="E35" i="5"/>
  <c r="E34" i="5"/>
  <c r="E33" i="5"/>
  <c r="E32" i="5"/>
  <c r="E31" i="5"/>
  <c r="E30" i="5"/>
  <c r="E29" i="5"/>
  <c r="E28" i="5"/>
  <c r="E17" i="5"/>
  <c r="E11" i="5"/>
  <c r="E10" i="5"/>
  <c r="E9" i="5"/>
  <c r="E16" i="5"/>
  <c r="E27" i="5"/>
  <c r="E24" i="5"/>
  <c r="E20" i="5"/>
  <c r="E15" i="5"/>
  <c r="E8" i="5"/>
  <c r="E5" i="5"/>
  <c r="E7" i="5"/>
  <c r="E23" i="5"/>
  <c r="E14" i="5"/>
  <c r="E22" i="5"/>
  <c r="E26" i="5"/>
  <c r="E4" i="5"/>
  <c r="E6" i="5"/>
  <c r="E13" i="5"/>
  <c r="E12" i="5"/>
  <c r="E21" i="5"/>
  <c r="K5" i="5"/>
  <c r="K6" i="5" s="1"/>
  <c r="E19" i="5"/>
  <c r="E18" i="5"/>
  <c r="E25" i="5"/>
  <c r="H4" i="3" l="1"/>
  <c r="H8" i="3"/>
  <c r="H5" i="3"/>
  <c r="F2" i="3"/>
  <c r="K6" i="4" l="1"/>
  <c r="K7" i="4" s="1"/>
  <c r="E6" i="4"/>
  <c r="E17" i="4"/>
  <c r="E25" i="4"/>
  <c r="E8" i="4"/>
  <c r="E34" i="4"/>
  <c r="E24" i="4"/>
  <c r="E33" i="4"/>
  <c r="E32" i="4"/>
  <c r="E5" i="4" l="1"/>
  <c r="E40" i="4" l="1"/>
  <c r="E23" i="4"/>
  <c r="E22" i="4"/>
  <c r="E39" i="4"/>
  <c r="E16" i="4"/>
  <c r="E15" i="4"/>
  <c r="E14" i="4"/>
  <c r="E31" i="4"/>
  <c r="E38" i="4"/>
  <c r="E37" i="4"/>
  <c r="E30" i="4"/>
  <c r="E13" i="4"/>
  <c r="E29" i="4"/>
  <c r="E12" i="4"/>
  <c r="E11" i="4"/>
  <c r="E20" i="4"/>
  <c r="E7" i="4"/>
  <c r="E36" i="4"/>
  <c r="E28" i="4"/>
  <c r="E27" i="4"/>
  <c r="E35" i="4"/>
  <c r="E26" i="4"/>
  <c r="E21" i="4"/>
  <c r="E10" i="4"/>
  <c r="E9" i="4"/>
  <c r="E19" i="4"/>
  <c r="E18" i="4"/>
  <c r="E4" i="4"/>
  <c r="D5" i="2" l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4" i="2"/>
</calcChain>
</file>

<file path=xl/sharedStrings.xml><?xml version="1.0" encoding="utf-8"?>
<sst xmlns="http://schemas.openxmlformats.org/spreadsheetml/2006/main" count="218" uniqueCount="109">
  <si>
    <t>Price</t>
  </si>
  <si>
    <t>Huijsen</t>
  </si>
  <si>
    <t>Fellaini</t>
  </si>
  <si>
    <t>Saka</t>
  </si>
  <si>
    <t xml:space="preserve">Owen </t>
  </si>
  <si>
    <t>Belingham</t>
  </si>
  <si>
    <t>Musiala</t>
  </si>
  <si>
    <t>Ferdinand</t>
  </si>
  <si>
    <t>Haaland</t>
  </si>
  <si>
    <t>Ibrahimovic</t>
  </si>
  <si>
    <t>Cech</t>
  </si>
  <si>
    <t>Capdevila</t>
  </si>
  <si>
    <t>Nico Williams</t>
  </si>
  <si>
    <t>Caicedo</t>
  </si>
  <si>
    <t>Guler</t>
  </si>
  <si>
    <t>Frimpong</t>
  </si>
  <si>
    <t>Gvardiol</t>
  </si>
  <si>
    <t>Bierhoff</t>
  </si>
  <si>
    <t>Zidane</t>
  </si>
  <si>
    <t>Kompany</t>
  </si>
  <si>
    <t>Torres</t>
  </si>
  <si>
    <t>Maicon</t>
  </si>
  <si>
    <t>Leao</t>
  </si>
  <si>
    <t>Gravenberch</t>
  </si>
  <si>
    <t>Hincape</t>
  </si>
  <si>
    <t>Cherki</t>
  </si>
  <si>
    <t>Name</t>
  </si>
  <si>
    <t>OVR</t>
  </si>
  <si>
    <t>Status</t>
  </si>
  <si>
    <t>Current shards</t>
  </si>
  <si>
    <t>Player</t>
  </si>
  <si>
    <t>Rank</t>
  </si>
  <si>
    <t>H2H</t>
  </si>
  <si>
    <t>MM</t>
  </si>
  <si>
    <t>Savic (GK)</t>
  </si>
  <si>
    <t>Alisson</t>
  </si>
  <si>
    <t>Cha Bum Kun</t>
  </si>
  <si>
    <t>Owned</t>
  </si>
  <si>
    <t>No</t>
  </si>
  <si>
    <t>Petit</t>
  </si>
  <si>
    <t>Yes</t>
  </si>
  <si>
    <t>Kroos</t>
  </si>
  <si>
    <t>T. Hernandez</t>
  </si>
  <si>
    <t>Lucio</t>
  </si>
  <si>
    <t>Viera</t>
  </si>
  <si>
    <t>Bellingham</t>
  </si>
  <si>
    <t>Ronaldinho</t>
  </si>
  <si>
    <t>Puyol</t>
  </si>
  <si>
    <t>Socrates</t>
  </si>
  <si>
    <t>Gyokeres</t>
  </si>
  <si>
    <t>L. Diaz</t>
  </si>
  <si>
    <t>Van Basten</t>
  </si>
  <si>
    <t>De Bryune</t>
  </si>
  <si>
    <t>Eto'o</t>
  </si>
  <si>
    <t>Maradona</t>
  </si>
  <si>
    <t>Thuram</t>
  </si>
  <si>
    <t>Week</t>
  </si>
  <si>
    <t>Van De Ven</t>
  </si>
  <si>
    <t>TAA</t>
  </si>
  <si>
    <t>Mbappe</t>
  </si>
  <si>
    <t>Stam</t>
  </si>
  <si>
    <t>Rodri</t>
  </si>
  <si>
    <t>Henry</t>
  </si>
  <si>
    <t>Target</t>
  </si>
  <si>
    <t>Total</t>
  </si>
  <si>
    <t>Yildiz</t>
  </si>
  <si>
    <t>Remaining shards</t>
  </si>
  <si>
    <t>Barzagli</t>
  </si>
  <si>
    <t>A. Cole</t>
  </si>
  <si>
    <t>Courtois</t>
  </si>
  <si>
    <t>Gilberto Silva</t>
  </si>
  <si>
    <t>A. Isak</t>
  </si>
  <si>
    <t>L. Suarez</t>
  </si>
  <si>
    <t>Raphinha</t>
  </si>
  <si>
    <t>Saliba</t>
  </si>
  <si>
    <t>Eze</t>
  </si>
  <si>
    <t>Dembele</t>
  </si>
  <si>
    <t>1-1-1-1</t>
  </si>
  <si>
    <t>Cryuff</t>
  </si>
  <si>
    <t>Chielini</t>
  </si>
  <si>
    <t>3-3-3-1</t>
  </si>
  <si>
    <t>Davies</t>
  </si>
  <si>
    <t>Jairzinho</t>
  </si>
  <si>
    <t>Van Persie</t>
  </si>
  <si>
    <t>Fabregas</t>
  </si>
  <si>
    <t>Mcmanaman</t>
  </si>
  <si>
    <t>Cordoba</t>
  </si>
  <si>
    <t>Gullit</t>
  </si>
  <si>
    <t>Dalglish</t>
  </si>
  <si>
    <t>Nesta</t>
  </si>
  <si>
    <t>Schmeichel</t>
  </si>
  <si>
    <t>Cucurella</t>
  </si>
  <si>
    <t>Matuidi</t>
  </si>
  <si>
    <t>King</t>
  </si>
  <si>
    <t>Rodrygo</t>
  </si>
  <si>
    <t>Dunga</t>
  </si>
  <si>
    <t>Hazard</t>
  </si>
  <si>
    <t>Beckham</t>
  </si>
  <si>
    <t>Cafu</t>
  </si>
  <si>
    <t>Makalele</t>
  </si>
  <si>
    <t>Lineker</t>
  </si>
  <si>
    <t>Eder Militao</t>
  </si>
  <si>
    <t>Antony</t>
  </si>
  <si>
    <t>4-1-2-1-2 Narrow</t>
  </si>
  <si>
    <t>2-1-2-2</t>
  </si>
  <si>
    <t>3-1-3-1</t>
  </si>
  <si>
    <t>1-1-3-1</t>
  </si>
  <si>
    <t>3-2-3-1</t>
  </si>
  <si>
    <t>Laundrup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</si>
</sst>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8956-4EAA-4721-929B-3043E18557CC}">
  <dimension ref="A1:H17"/>
  <sheetViews>
    <sheetView tabSelected="1" workbookViewId="0"/>
  </sheetViews>
  <sheetFormatPr defaultColWidth="20.6640625" defaultRowHeight="21" x14ac:dyDescent="0.4"/>
  <cols>
    <col min="1" max="16384" width="20.6640625" style="1"/>
  </cols>
  <sheetData>
    <row r="1" spans="1:8" x14ac:dyDescent="0.4">
      <c r="A1" s="1" t="s">
        <v>30</v>
      </c>
      <c r="B1" s="1" t="s">
        <v>27</v>
      </c>
      <c r="C1" s="1" t="s">
        <v>31</v>
      </c>
      <c r="D1" s="13" t="s">
        <v>103</v>
      </c>
      <c r="E1" s="13"/>
      <c r="F1" s="13"/>
      <c r="G1" s="13"/>
    </row>
    <row r="2" spans="1:8" x14ac:dyDescent="0.4">
      <c r="A2" s="8" t="s">
        <v>76</v>
      </c>
      <c r="B2" s="5">
        <v>118</v>
      </c>
      <c r="C2" s="8">
        <v>5</v>
      </c>
      <c r="E2" s="1" t="s">
        <v>27</v>
      </c>
      <c r="F2" s="3">
        <f>AVERAGE(B2:B12)</f>
        <v>117.54545454545455</v>
      </c>
    </row>
    <row r="3" spans="1:8" x14ac:dyDescent="0.4">
      <c r="A3" s="1" t="s">
        <v>78</v>
      </c>
      <c r="B3" s="5">
        <v>118</v>
      </c>
      <c r="C3" s="1">
        <v>5</v>
      </c>
    </row>
    <row r="4" spans="1:8" x14ac:dyDescent="0.4">
      <c r="A4" s="8" t="s">
        <v>6</v>
      </c>
      <c r="B4" s="5">
        <v>117</v>
      </c>
      <c r="C4" s="1">
        <v>5</v>
      </c>
      <c r="D4" s="9"/>
      <c r="E4" s="9" t="str">
        <f>A2</f>
        <v>Dembele</v>
      </c>
      <c r="F4" s="9" t="str">
        <f>A3</f>
        <v>Cryuff</v>
      </c>
      <c r="G4" s="9"/>
      <c r="H4" s="3">
        <f>AVERAGE(B2:B4)</f>
        <v>117.66666666666667</v>
      </c>
    </row>
    <row r="5" spans="1:8" x14ac:dyDescent="0.4">
      <c r="A5" s="8" t="s">
        <v>87</v>
      </c>
      <c r="B5" s="5">
        <v>118</v>
      </c>
      <c r="C5" s="1">
        <v>5</v>
      </c>
      <c r="D5" s="9"/>
      <c r="E5" s="12" t="str">
        <f>A4</f>
        <v>Musiala</v>
      </c>
      <c r="F5" s="12"/>
      <c r="G5" s="9"/>
      <c r="H5" s="11">
        <f>AVERAGE(B5:B7)</f>
        <v>117.33333333333333</v>
      </c>
    </row>
    <row r="6" spans="1:8" x14ac:dyDescent="0.4">
      <c r="A6" s="8" t="s">
        <v>18</v>
      </c>
      <c r="B6" s="5">
        <v>118</v>
      </c>
      <c r="C6" s="1">
        <v>5</v>
      </c>
      <c r="D6" s="9"/>
      <c r="E6" s="9" t="str">
        <f>A5</f>
        <v>Gullit</v>
      </c>
      <c r="F6" s="9" t="str">
        <f>A6</f>
        <v>Zidane</v>
      </c>
      <c r="G6" s="9"/>
      <c r="H6" s="11"/>
    </row>
    <row r="7" spans="1:8" x14ac:dyDescent="0.4">
      <c r="A7" s="1" t="s">
        <v>95</v>
      </c>
      <c r="B7" s="5">
        <v>116</v>
      </c>
      <c r="C7" s="1">
        <v>5</v>
      </c>
      <c r="D7" s="9"/>
      <c r="E7" s="12" t="str">
        <f>A7</f>
        <v>Dunga</v>
      </c>
      <c r="F7" s="12"/>
      <c r="G7" s="9"/>
      <c r="H7" s="11"/>
    </row>
    <row r="8" spans="1:8" x14ac:dyDescent="0.4">
      <c r="A8" s="1" t="s">
        <v>81</v>
      </c>
      <c r="B8" s="5">
        <v>118</v>
      </c>
      <c r="C8" s="1">
        <v>5</v>
      </c>
      <c r="D8" s="9" t="str">
        <f>A8</f>
        <v>Davies</v>
      </c>
      <c r="E8" s="9" t="str">
        <f>A9</f>
        <v>Barzagli</v>
      </c>
      <c r="F8" s="9" t="str">
        <f>A10</f>
        <v>Thuram</v>
      </c>
      <c r="G8" s="9" t="str">
        <f>A11</f>
        <v>Laundrup</v>
      </c>
      <c r="H8" s="11">
        <f>AVERAGE(B8:B12)</f>
        <v>117.6</v>
      </c>
    </row>
    <row r="9" spans="1:8" x14ac:dyDescent="0.4">
      <c r="A9" s="1" t="s">
        <v>67</v>
      </c>
      <c r="B9" s="5">
        <v>117</v>
      </c>
      <c r="C9" s="1">
        <v>5</v>
      </c>
      <c r="D9" s="9"/>
      <c r="E9" s="12" t="str">
        <f>A12</f>
        <v>Courtois</v>
      </c>
      <c r="F9" s="12"/>
      <c r="G9" s="9"/>
      <c r="H9" s="11"/>
    </row>
    <row r="10" spans="1:8" x14ac:dyDescent="0.4">
      <c r="A10" s="10" t="s">
        <v>55</v>
      </c>
      <c r="B10" s="5">
        <v>118</v>
      </c>
      <c r="C10" s="1">
        <v>5</v>
      </c>
      <c r="D10" s="6"/>
      <c r="E10" s="6"/>
      <c r="F10" s="6"/>
      <c r="G10" s="6"/>
      <c r="H10" s="7"/>
    </row>
    <row r="11" spans="1:8" x14ac:dyDescent="0.4">
      <c r="A11" s="1" t="s">
        <v>108</v>
      </c>
      <c r="B11" s="5">
        <v>117</v>
      </c>
      <c r="C11" s="1">
        <v>5</v>
      </c>
      <c r="E11" s="2"/>
      <c r="F11" s="2"/>
    </row>
    <row r="12" spans="1:8" x14ac:dyDescent="0.4">
      <c r="A12" s="1" t="s">
        <v>69</v>
      </c>
      <c r="B12" s="5">
        <v>118</v>
      </c>
      <c r="C12" s="1">
        <v>5</v>
      </c>
    </row>
    <row r="14" spans="1:8" x14ac:dyDescent="0.4">
      <c r="A14" s="1" t="s">
        <v>32</v>
      </c>
      <c r="B14" s="1" t="s">
        <v>33</v>
      </c>
    </row>
    <row r="15" spans="1:8" x14ac:dyDescent="0.4">
      <c r="A15" s="1" t="s">
        <v>80</v>
      </c>
      <c r="B15" s="1" t="s">
        <v>105</v>
      </c>
    </row>
    <row r="16" spans="1:8" x14ac:dyDescent="0.4">
      <c r="A16" s="1" t="s">
        <v>104</v>
      </c>
      <c r="B16" s="1" t="s">
        <v>106</v>
      </c>
    </row>
    <row r="17" spans="1:2" x14ac:dyDescent="0.4">
      <c r="A17" s="1" t="s">
        <v>77</v>
      </c>
      <c r="B17" s="1" t="s">
        <v>107</v>
      </c>
    </row>
  </sheetData>
  <mergeCells count="6">
    <mergeCell ref="H8:H9"/>
    <mergeCell ref="E9:F9"/>
    <mergeCell ref="D1:G1"/>
    <mergeCell ref="E5:F5"/>
    <mergeCell ref="E7:F7"/>
    <mergeCell ref="H5:H7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B80E2-57BE-401D-A2C1-E2DCA487D3D0}">
  <dimension ref="A1:D28"/>
  <sheetViews>
    <sheetView workbookViewId="0">
      <selection activeCell="F11" sqref="F11"/>
    </sheetView>
  </sheetViews>
  <sheetFormatPr defaultColWidth="8.88671875" defaultRowHeight="21" x14ac:dyDescent="0.4"/>
  <cols>
    <col min="1" max="5" width="20.6640625" style="1" customWidth="1"/>
    <col min="6" max="16384" width="8.88671875" style="1"/>
  </cols>
  <sheetData>
    <row r="1" spans="1:4" x14ac:dyDescent="0.4">
      <c r="A1" s="1" t="s">
        <v>29</v>
      </c>
      <c r="B1" s="1">
        <v>1247</v>
      </c>
    </row>
    <row r="3" spans="1:4" x14ac:dyDescent="0.4">
      <c r="A3" s="1" t="s">
        <v>26</v>
      </c>
      <c r="B3" s="1" t="s">
        <v>27</v>
      </c>
      <c r="C3" s="1" t="s">
        <v>0</v>
      </c>
      <c r="D3" s="1" t="s">
        <v>28</v>
      </c>
    </row>
    <row r="4" spans="1:4" x14ac:dyDescent="0.4">
      <c r="A4" s="1" t="s">
        <v>16</v>
      </c>
      <c r="B4" s="1">
        <v>110</v>
      </c>
      <c r="C4" s="1">
        <v>650</v>
      </c>
      <c r="D4" s="1" t="b">
        <f>C4&lt;=$B$1</f>
        <v>1</v>
      </c>
    </row>
    <row r="5" spans="1:4" x14ac:dyDescent="0.4">
      <c r="A5" s="1" t="s">
        <v>4</v>
      </c>
      <c r="B5" s="1">
        <v>110</v>
      </c>
      <c r="C5" s="1">
        <v>650</v>
      </c>
      <c r="D5" s="1" t="b">
        <f t="shared" ref="D5:D28" si="0">C5&lt;=$B$1</f>
        <v>1</v>
      </c>
    </row>
    <row r="6" spans="1:4" x14ac:dyDescent="0.4">
      <c r="A6" s="1" t="s">
        <v>2</v>
      </c>
      <c r="B6" s="1">
        <v>110</v>
      </c>
      <c r="C6" s="1">
        <v>800</v>
      </c>
      <c r="D6" s="1" t="b">
        <f t="shared" si="0"/>
        <v>1</v>
      </c>
    </row>
    <row r="7" spans="1:4" x14ac:dyDescent="0.4">
      <c r="A7" s="1" t="s">
        <v>17</v>
      </c>
      <c r="B7" s="1">
        <v>110</v>
      </c>
      <c r="C7" s="1">
        <v>800</v>
      </c>
      <c r="D7" s="1" t="b">
        <f t="shared" si="0"/>
        <v>1</v>
      </c>
    </row>
    <row r="8" spans="1:4" x14ac:dyDescent="0.4">
      <c r="A8" s="1" t="s">
        <v>24</v>
      </c>
      <c r="B8" s="1">
        <v>110</v>
      </c>
      <c r="C8" s="1">
        <v>800</v>
      </c>
      <c r="D8" s="1" t="b">
        <f t="shared" si="0"/>
        <v>1</v>
      </c>
    </row>
    <row r="9" spans="1:4" x14ac:dyDescent="0.4">
      <c r="A9" s="1" t="s">
        <v>1</v>
      </c>
      <c r="B9" s="1">
        <v>110</v>
      </c>
      <c r="C9" s="1">
        <v>800</v>
      </c>
      <c r="D9" s="1" t="b">
        <f t="shared" si="0"/>
        <v>1</v>
      </c>
    </row>
    <row r="10" spans="1:4" x14ac:dyDescent="0.4">
      <c r="A10" s="1" t="s">
        <v>3</v>
      </c>
      <c r="B10" s="1">
        <v>110</v>
      </c>
      <c r="C10" s="1">
        <v>800</v>
      </c>
      <c r="D10" s="1" t="b">
        <f t="shared" si="0"/>
        <v>1</v>
      </c>
    </row>
    <row r="11" spans="1:4" x14ac:dyDescent="0.4">
      <c r="A11" s="1" t="s">
        <v>14</v>
      </c>
      <c r="B11" s="1">
        <v>110</v>
      </c>
      <c r="C11" s="1">
        <v>800</v>
      </c>
      <c r="D11" s="1" t="b">
        <f t="shared" si="0"/>
        <v>1</v>
      </c>
    </row>
    <row r="12" spans="1:4" x14ac:dyDescent="0.4">
      <c r="A12" s="1" t="s">
        <v>23</v>
      </c>
      <c r="B12" s="1">
        <v>110</v>
      </c>
      <c r="C12" s="1">
        <v>800</v>
      </c>
      <c r="D12" s="1" t="b">
        <f t="shared" si="0"/>
        <v>1</v>
      </c>
    </row>
    <row r="13" spans="1:4" x14ac:dyDescent="0.4">
      <c r="A13" s="1" t="s">
        <v>25</v>
      </c>
      <c r="B13" s="1">
        <v>110</v>
      </c>
      <c r="C13" s="1">
        <v>800</v>
      </c>
      <c r="D13" s="1" t="b">
        <f t="shared" si="0"/>
        <v>1</v>
      </c>
    </row>
    <row r="14" spans="1:4" x14ac:dyDescent="0.4">
      <c r="A14" s="1" t="s">
        <v>15</v>
      </c>
      <c r="B14" s="1">
        <v>110</v>
      </c>
      <c r="C14" s="1">
        <v>1000</v>
      </c>
      <c r="D14" s="1" t="b">
        <f t="shared" si="0"/>
        <v>1</v>
      </c>
    </row>
    <row r="15" spans="1:4" x14ac:dyDescent="0.4">
      <c r="A15" s="1" t="s">
        <v>13</v>
      </c>
      <c r="B15" s="1">
        <v>111</v>
      </c>
      <c r="C15" s="1">
        <v>1000</v>
      </c>
      <c r="D15" s="1" t="b">
        <f t="shared" si="0"/>
        <v>1</v>
      </c>
    </row>
    <row r="16" spans="1:4" x14ac:dyDescent="0.4">
      <c r="A16" s="1" t="s">
        <v>6</v>
      </c>
      <c r="B16" s="1">
        <v>111</v>
      </c>
      <c r="C16" s="1">
        <v>1000</v>
      </c>
      <c r="D16" s="1" t="b">
        <f t="shared" si="0"/>
        <v>1</v>
      </c>
    </row>
    <row r="17" spans="1:4" x14ac:dyDescent="0.4">
      <c r="A17" s="1" t="s">
        <v>22</v>
      </c>
      <c r="B17" s="1">
        <v>110</v>
      </c>
      <c r="C17" s="1">
        <v>1250</v>
      </c>
      <c r="D17" s="1" t="b">
        <f t="shared" si="0"/>
        <v>0</v>
      </c>
    </row>
    <row r="18" spans="1:4" x14ac:dyDescent="0.4">
      <c r="A18" s="1" t="s">
        <v>8</v>
      </c>
      <c r="B18" s="1">
        <v>111</v>
      </c>
      <c r="C18" s="1">
        <v>1250</v>
      </c>
      <c r="D18" s="1" t="b">
        <f t="shared" si="0"/>
        <v>0</v>
      </c>
    </row>
    <row r="19" spans="1:4" x14ac:dyDescent="0.4">
      <c r="A19" s="1" t="s">
        <v>11</v>
      </c>
      <c r="B19" s="1">
        <v>111</v>
      </c>
      <c r="C19" s="1">
        <v>1250</v>
      </c>
      <c r="D19" s="1" t="b">
        <f t="shared" si="0"/>
        <v>0</v>
      </c>
    </row>
    <row r="20" spans="1:4" x14ac:dyDescent="0.4">
      <c r="A20" s="1" t="s">
        <v>19</v>
      </c>
      <c r="B20" s="1">
        <v>111</v>
      </c>
      <c r="C20" s="1">
        <v>1250</v>
      </c>
      <c r="D20" s="1" t="b">
        <f t="shared" si="0"/>
        <v>0</v>
      </c>
    </row>
    <row r="21" spans="1:4" x14ac:dyDescent="0.4">
      <c r="A21" s="1" t="s">
        <v>5</v>
      </c>
      <c r="B21" s="1">
        <v>111</v>
      </c>
      <c r="C21" s="1">
        <v>1500</v>
      </c>
      <c r="D21" s="1" t="b">
        <f t="shared" si="0"/>
        <v>0</v>
      </c>
    </row>
    <row r="22" spans="1:4" x14ac:dyDescent="0.4">
      <c r="A22" s="1" t="s">
        <v>7</v>
      </c>
      <c r="B22" s="1">
        <v>111</v>
      </c>
      <c r="C22" s="1">
        <v>1500</v>
      </c>
      <c r="D22" s="1" t="b">
        <f t="shared" si="0"/>
        <v>0</v>
      </c>
    </row>
    <row r="23" spans="1:4" x14ac:dyDescent="0.4">
      <c r="A23" s="1" t="s">
        <v>9</v>
      </c>
      <c r="B23" s="1">
        <v>111</v>
      </c>
      <c r="C23" s="1">
        <v>1500</v>
      </c>
      <c r="D23" s="1" t="b">
        <f t="shared" si="0"/>
        <v>0</v>
      </c>
    </row>
    <row r="24" spans="1:4" x14ac:dyDescent="0.4">
      <c r="A24" s="1" t="s">
        <v>18</v>
      </c>
      <c r="B24" s="1">
        <v>111</v>
      </c>
      <c r="C24" s="1">
        <v>1500</v>
      </c>
      <c r="D24" s="1" t="b">
        <f t="shared" si="0"/>
        <v>0</v>
      </c>
    </row>
    <row r="25" spans="1:4" x14ac:dyDescent="0.4">
      <c r="A25" s="1" t="s">
        <v>20</v>
      </c>
      <c r="B25" s="1">
        <v>111</v>
      </c>
      <c r="C25" s="1">
        <v>1500</v>
      </c>
      <c r="D25" s="1" t="b">
        <f t="shared" si="0"/>
        <v>0</v>
      </c>
    </row>
    <row r="26" spans="1:4" x14ac:dyDescent="0.4">
      <c r="A26" s="1" t="s">
        <v>10</v>
      </c>
      <c r="B26" s="1">
        <v>111</v>
      </c>
      <c r="C26" s="1">
        <v>1500</v>
      </c>
      <c r="D26" s="1" t="b">
        <f t="shared" si="0"/>
        <v>0</v>
      </c>
    </row>
    <row r="27" spans="1:4" x14ac:dyDescent="0.4">
      <c r="A27" s="1" t="s">
        <v>12</v>
      </c>
      <c r="B27" s="1">
        <v>111</v>
      </c>
      <c r="C27" s="1">
        <v>1500</v>
      </c>
      <c r="D27" s="1" t="b">
        <f t="shared" si="0"/>
        <v>0</v>
      </c>
    </row>
    <row r="28" spans="1:4" x14ac:dyDescent="0.4">
      <c r="A28" s="1" t="s">
        <v>21</v>
      </c>
      <c r="B28" s="1">
        <v>111</v>
      </c>
      <c r="C28" s="1">
        <v>1500</v>
      </c>
      <c r="D28" s="1" t="b">
        <f t="shared" si="0"/>
        <v>0</v>
      </c>
    </row>
  </sheetData>
  <autoFilter ref="A3:C28" xr:uid="{AAD8BEA2-CD5F-4A39-B9F7-727A9ED99B06}">
    <sortState ref="A4:C28">
      <sortCondition ref="C3:C28"/>
    </sortState>
  </autoFilter>
  <sortState ref="A4:D16">
    <sortCondition ref="B3"/>
  </sortState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FF10A-54F7-4C6D-99E4-C42ABE4A88D6}">
  <dimension ref="A1:K42"/>
  <sheetViews>
    <sheetView zoomScaleNormal="100" workbookViewId="0">
      <selection activeCell="F33" sqref="F33"/>
    </sheetView>
  </sheetViews>
  <sheetFormatPr defaultColWidth="8.88671875" defaultRowHeight="21" x14ac:dyDescent="0.4"/>
  <cols>
    <col min="1" max="6" width="18.6640625" style="1" customWidth="1"/>
    <col min="7" max="8" width="8.88671875" style="1"/>
    <col min="9" max="11" width="18.6640625" style="1" customWidth="1"/>
    <col min="12" max="16384" width="8.88671875" style="1"/>
  </cols>
  <sheetData>
    <row r="1" spans="1:11" x14ac:dyDescent="0.4">
      <c r="A1" s="1" t="s">
        <v>29</v>
      </c>
      <c r="B1" s="1">
        <v>2501</v>
      </c>
      <c r="I1" s="1" t="s">
        <v>63</v>
      </c>
    </row>
    <row r="3" spans="1:11" x14ac:dyDescent="0.4">
      <c r="A3" s="1" t="s">
        <v>26</v>
      </c>
      <c r="B3" s="1" t="s">
        <v>27</v>
      </c>
      <c r="C3" s="1" t="s">
        <v>0</v>
      </c>
      <c r="D3" s="1" t="s">
        <v>56</v>
      </c>
      <c r="E3" s="1" t="s">
        <v>28</v>
      </c>
      <c r="F3" s="1" t="s">
        <v>37</v>
      </c>
      <c r="I3" s="1" t="s">
        <v>26</v>
      </c>
      <c r="J3" s="1" t="s">
        <v>27</v>
      </c>
      <c r="K3" s="1" t="s">
        <v>0</v>
      </c>
    </row>
    <row r="4" spans="1:11" x14ac:dyDescent="0.4">
      <c r="A4" s="1" t="s">
        <v>34</v>
      </c>
      <c r="B4" s="1">
        <v>111</v>
      </c>
      <c r="C4" s="1">
        <v>300</v>
      </c>
      <c r="D4" s="1">
        <v>2</v>
      </c>
      <c r="E4" s="1" t="b">
        <f t="shared" ref="E4:E40" si="0">C4&lt;=$B$1</f>
        <v>1</v>
      </c>
      <c r="F4" s="1" t="s">
        <v>38</v>
      </c>
      <c r="I4" s="1" t="s">
        <v>69</v>
      </c>
      <c r="J4" s="1">
        <v>113</v>
      </c>
      <c r="K4" s="1">
        <v>1250</v>
      </c>
    </row>
    <row r="5" spans="1:11" x14ac:dyDescent="0.4">
      <c r="A5" s="1" t="s">
        <v>65</v>
      </c>
      <c r="B5" s="1">
        <v>111</v>
      </c>
      <c r="C5" s="1">
        <v>450</v>
      </c>
      <c r="D5" s="1">
        <v>2</v>
      </c>
      <c r="E5" s="1" t="b">
        <f t="shared" si="0"/>
        <v>1</v>
      </c>
      <c r="F5" s="1" t="s">
        <v>38</v>
      </c>
      <c r="I5" s="1" t="s">
        <v>55</v>
      </c>
      <c r="J5" s="1">
        <v>113</v>
      </c>
      <c r="K5" s="1">
        <v>1250</v>
      </c>
    </row>
    <row r="6" spans="1:11" x14ac:dyDescent="0.4">
      <c r="A6" s="1" t="s">
        <v>75</v>
      </c>
      <c r="B6" s="1">
        <v>112</v>
      </c>
      <c r="C6" s="1">
        <v>500</v>
      </c>
      <c r="D6" s="1">
        <v>4</v>
      </c>
      <c r="E6" s="1" t="b">
        <f t="shared" si="0"/>
        <v>1</v>
      </c>
      <c r="F6" s="1" t="s">
        <v>38</v>
      </c>
      <c r="I6" s="13" t="s">
        <v>64</v>
      </c>
      <c r="J6" s="13"/>
      <c r="K6" s="1">
        <f>SUM(K4:K5)</f>
        <v>2500</v>
      </c>
    </row>
    <row r="7" spans="1:11" x14ac:dyDescent="0.4">
      <c r="A7" s="1" t="s">
        <v>47</v>
      </c>
      <c r="B7" s="1">
        <v>112</v>
      </c>
      <c r="C7" s="1">
        <v>650</v>
      </c>
      <c r="D7" s="1">
        <v>2</v>
      </c>
      <c r="E7" s="1" t="b">
        <f t="shared" si="0"/>
        <v>1</v>
      </c>
      <c r="F7" s="1" t="s">
        <v>38</v>
      </c>
      <c r="I7" s="13" t="s">
        <v>66</v>
      </c>
      <c r="J7" s="13"/>
      <c r="K7" s="1">
        <f>$B$1-K6</f>
        <v>1</v>
      </c>
    </row>
    <row r="8" spans="1:11" x14ac:dyDescent="0.4">
      <c r="A8" s="1" t="s">
        <v>72</v>
      </c>
      <c r="B8" s="1">
        <v>112</v>
      </c>
      <c r="C8" s="1">
        <v>650</v>
      </c>
      <c r="D8" s="1">
        <v>4</v>
      </c>
      <c r="E8" s="1" t="b">
        <f t="shared" si="0"/>
        <v>1</v>
      </c>
      <c r="F8" s="1" t="s">
        <v>38</v>
      </c>
      <c r="I8" s="2"/>
      <c r="J8" s="2"/>
    </row>
    <row r="9" spans="1:11" x14ac:dyDescent="0.4">
      <c r="A9" s="1" t="s">
        <v>39</v>
      </c>
      <c r="B9" s="1">
        <v>112</v>
      </c>
      <c r="C9" s="1">
        <v>800</v>
      </c>
      <c r="D9" s="1">
        <v>1</v>
      </c>
      <c r="E9" s="1" t="b">
        <f t="shared" si="0"/>
        <v>1</v>
      </c>
      <c r="F9" s="1" t="s">
        <v>38</v>
      </c>
    </row>
    <row r="10" spans="1:11" x14ac:dyDescent="0.4">
      <c r="A10" s="1" t="s">
        <v>6</v>
      </c>
      <c r="B10" s="1">
        <v>112</v>
      </c>
      <c r="C10" s="1">
        <v>800</v>
      </c>
      <c r="D10" s="1">
        <v>1</v>
      </c>
      <c r="E10" s="1" t="b">
        <f t="shared" si="0"/>
        <v>1</v>
      </c>
      <c r="F10" s="1" t="s">
        <v>40</v>
      </c>
    </row>
    <row r="11" spans="1:11" x14ac:dyDescent="0.4">
      <c r="A11" s="1" t="s">
        <v>49</v>
      </c>
      <c r="B11" s="1">
        <v>112</v>
      </c>
      <c r="C11" s="1">
        <v>800</v>
      </c>
      <c r="D11" s="1">
        <v>2</v>
      </c>
      <c r="E11" s="1" t="b">
        <f t="shared" si="0"/>
        <v>1</v>
      </c>
      <c r="F11" s="1" t="s">
        <v>38</v>
      </c>
    </row>
    <row r="12" spans="1:11" x14ac:dyDescent="0.4">
      <c r="A12" s="1" t="s">
        <v>50</v>
      </c>
      <c r="B12" s="1">
        <v>112</v>
      </c>
      <c r="C12" s="1">
        <v>800</v>
      </c>
      <c r="D12" s="1">
        <v>2</v>
      </c>
      <c r="E12" s="1" t="b">
        <f t="shared" si="0"/>
        <v>1</v>
      </c>
      <c r="F12" s="1" t="s">
        <v>38</v>
      </c>
    </row>
    <row r="13" spans="1:11" x14ac:dyDescent="0.4">
      <c r="A13" s="1" t="s">
        <v>52</v>
      </c>
      <c r="B13" s="1">
        <v>112</v>
      </c>
      <c r="C13" s="1">
        <v>800</v>
      </c>
      <c r="D13" s="1">
        <v>2</v>
      </c>
      <c r="E13" s="1" t="b">
        <f t="shared" si="0"/>
        <v>1</v>
      </c>
      <c r="F13" s="1" t="s">
        <v>38</v>
      </c>
    </row>
    <row r="14" spans="1:11" x14ac:dyDescent="0.4">
      <c r="A14" s="1" t="s">
        <v>15</v>
      </c>
      <c r="B14" s="1">
        <v>112</v>
      </c>
      <c r="C14" s="1">
        <v>800</v>
      </c>
      <c r="D14" s="1">
        <v>3</v>
      </c>
      <c r="E14" s="1" t="b">
        <f t="shared" si="0"/>
        <v>1</v>
      </c>
      <c r="F14" s="1" t="s">
        <v>38</v>
      </c>
      <c r="I14" s="2"/>
      <c r="J14" s="2"/>
    </row>
    <row r="15" spans="1:11" x14ac:dyDescent="0.4">
      <c r="A15" s="1" t="s">
        <v>57</v>
      </c>
      <c r="B15" s="1">
        <v>112</v>
      </c>
      <c r="C15" s="1">
        <v>800</v>
      </c>
      <c r="D15" s="1">
        <v>3</v>
      </c>
      <c r="E15" s="1" t="b">
        <f t="shared" si="0"/>
        <v>1</v>
      </c>
      <c r="F15" s="1" t="s">
        <v>38</v>
      </c>
      <c r="I15" s="2"/>
      <c r="J15" s="2"/>
    </row>
    <row r="16" spans="1:11" x14ac:dyDescent="0.4">
      <c r="A16" s="1" t="s">
        <v>58</v>
      </c>
      <c r="B16" s="1">
        <v>112</v>
      </c>
      <c r="C16" s="1">
        <v>800</v>
      </c>
      <c r="D16" s="1">
        <v>3</v>
      </c>
      <c r="E16" s="1" t="b">
        <f t="shared" si="0"/>
        <v>1</v>
      </c>
      <c r="F16" s="1" t="s">
        <v>38</v>
      </c>
    </row>
    <row r="17" spans="1:10" x14ac:dyDescent="0.4">
      <c r="A17" s="1" t="s">
        <v>74</v>
      </c>
      <c r="B17" s="1">
        <v>112</v>
      </c>
      <c r="C17" s="1">
        <v>800</v>
      </c>
      <c r="D17" s="1">
        <v>4</v>
      </c>
      <c r="E17" s="1" t="b">
        <f t="shared" si="0"/>
        <v>1</v>
      </c>
      <c r="F17" s="1" t="s">
        <v>38</v>
      </c>
    </row>
    <row r="18" spans="1:10" x14ac:dyDescent="0.4">
      <c r="A18" s="1" t="s">
        <v>35</v>
      </c>
      <c r="B18" s="1">
        <v>112</v>
      </c>
      <c r="C18" s="1">
        <v>1000</v>
      </c>
      <c r="D18" s="1">
        <v>1</v>
      </c>
      <c r="E18" s="1" t="b">
        <f t="shared" si="0"/>
        <v>1</v>
      </c>
      <c r="F18" s="1" t="s">
        <v>38</v>
      </c>
    </row>
    <row r="19" spans="1:10" x14ac:dyDescent="0.4">
      <c r="A19" s="1" t="s">
        <v>36</v>
      </c>
      <c r="B19" s="1">
        <v>112</v>
      </c>
      <c r="C19" s="1">
        <v>1000</v>
      </c>
      <c r="D19" s="1">
        <v>1</v>
      </c>
      <c r="E19" s="1" t="b">
        <f t="shared" si="0"/>
        <v>1</v>
      </c>
      <c r="F19" s="1" t="s">
        <v>38</v>
      </c>
    </row>
    <row r="20" spans="1:10" x14ac:dyDescent="0.4">
      <c r="A20" s="1" t="s">
        <v>48</v>
      </c>
      <c r="B20" s="1">
        <v>112</v>
      </c>
      <c r="C20" s="1">
        <v>1000</v>
      </c>
      <c r="D20" s="1">
        <v>2</v>
      </c>
      <c r="E20" s="1" t="b">
        <f t="shared" si="0"/>
        <v>1</v>
      </c>
      <c r="F20" s="1" t="s">
        <v>38</v>
      </c>
    </row>
    <row r="21" spans="1:10" x14ac:dyDescent="0.4">
      <c r="A21" s="1" t="s">
        <v>41</v>
      </c>
      <c r="B21" s="1">
        <v>113</v>
      </c>
      <c r="C21" s="1">
        <v>1000</v>
      </c>
      <c r="D21" s="1">
        <v>1</v>
      </c>
      <c r="E21" s="1" t="b">
        <f t="shared" si="0"/>
        <v>1</v>
      </c>
      <c r="F21" s="1" t="s">
        <v>38</v>
      </c>
      <c r="I21" s="2"/>
      <c r="J21" s="2"/>
    </row>
    <row r="22" spans="1:10" x14ac:dyDescent="0.4">
      <c r="A22" s="1" t="s">
        <v>60</v>
      </c>
      <c r="B22" s="1">
        <v>113</v>
      </c>
      <c r="C22" s="1">
        <v>1000</v>
      </c>
      <c r="D22" s="1">
        <v>3</v>
      </c>
      <c r="E22" s="1" t="b">
        <f t="shared" si="0"/>
        <v>1</v>
      </c>
      <c r="F22" s="1" t="s">
        <v>38</v>
      </c>
      <c r="I22" s="2"/>
      <c r="J22" s="2"/>
    </row>
    <row r="23" spans="1:10" x14ac:dyDescent="0.4">
      <c r="A23" s="1" t="s">
        <v>61</v>
      </c>
      <c r="B23" s="1">
        <v>113</v>
      </c>
      <c r="C23" s="1">
        <v>1000</v>
      </c>
      <c r="D23" s="1">
        <v>3</v>
      </c>
      <c r="E23" s="1" t="b">
        <f t="shared" si="0"/>
        <v>1</v>
      </c>
      <c r="F23" s="1" t="s">
        <v>38</v>
      </c>
    </row>
    <row r="24" spans="1:10" x14ac:dyDescent="0.4">
      <c r="A24" s="1" t="s">
        <v>70</v>
      </c>
      <c r="B24" s="1">
        <v>113</v>
      </c>
      <c r="C24" s="1">
        <v>1000</v>
      </c>
      <c r="D24" s="1">
        <v>4</v>
      </c>
      <c r="E24" s="1" t="b">
        <f t="shared" si="0"/>
        <v>1</v>
      </c>
      <c r="F24" s="1" t="s">
        <v>38</v>
      </c>
    </row>
    <row r="25" spans="1:10" x14ac:dyDescent="0.4">
      <c r="A25" s="1" t="s">
        <v>73</v>
      </c>
      <c r="B25" s="1">
        <v>112</v>
      </c>
      <c r="C25" s="1">
        <v>1000</v>
      </c>
      <c r="D25" s="1">
        <v>4</v>
      </c>
      <c r="E25" s="1" t="b">
        <f t="shared" si="0"/>
        <v>1</v>
      </c>
      <c r="F25" s="1" t="s">
        <v>38</v>
      </c>
    </row>
    <row r="26" spans="1:10" x14ac:dyDescent="0.4">
      <c r="A26" s="1" t="s">
        <v>42</v>
      </c>
      <c r="B26" s="1">
        <v>112</v>
      </c>
      <c r="C26" s="1">
        <v>1200</v>
      </c>
      <c r="D26" s="1">
        <v>1</v>
      </c>
      <c r="E26" s="1" t="b">
        <f t="shared" si="0"/>
        <v>1</v>
      </c>
      <c r="F26" s="1" t="s">
        <v>38</v>
      </c>
    </row>
    <row r="27" spans="1:10" x14ac:dyDescent="0.4">
      <c r="A27" s="1" t="s">
        <v>44</v>
      </c>
      <c r="B27" s="1">
        <v>113</v>
      </c>
      <c r="C27" s="1">
        <v>1250</v>
      </c>
      <c r="D27" s="1">
        <v>1</v>
      </c>
      <c r="E27" s="1" t="b">
        <f t="shared" si="0"/>
        <v>1</v>
      </c>
      <c r="F27" s="1" t="s">
        <v>38</v>
      </c>
    </row>
    <row r="28" spans="1:10" x14ac:dyDescent="0.4">
      <c r="A28" s="1" t="s">
        <v>45</v>
      </c>
      <c r="B28" s="1">
        <v>113</v>
      </c>
      <c r="C28" s="1">
        <v>1250</v>
      </c>
      <c r="D28" s="1">
        <v>1</v>
      </c>
      <c r="E28" s="1" t="b">
        <f t="shared" si="0"/>
        <v>1</v>
      </c>
      <c r="F28" s="1" t="s">
        <v>38</v>
      </c>
      <c r="I28" s="2"/>
      <c r="J28" s="2"/>
    </row>
    <row r="29" spans="1:10" x14ac:dyDescent="0.4">
      <c r="A29" s="1" t="s">
        <v>51</v>
      </c>
      <c r="B29" s="1">
        <v>113</v>
      </c>
      <c r="C29" s="1">
        <v>1250</v>
      </c>
      <c r="D29" s="1">
        <v>2</v>
      </c>
      <c r="E29" s="1" t="b">
        <f t="shared" si="0"/>
        <v>1</v>
      </c>
      <c r="F29" s="1" t="s">
        <v>38</v>
      </c>
      <c r="I29" s="2"/>
      <c r="J29" s="2"/>
    </row>
    <row r="30" spans="1:10" x14ac:dyDescent="0.4">
      <c r="A30" s="1" t="s">
        <v>9</v>
      </c>
      <c r="B30" s="1">
        <v>113</v>
      </c>
      <c r="C30" s="1">
        <v>1250</v>
      </c>
      <c r="D30" s="1">
        <v>2</v>
      </c>
      <c r="E30" s="1" t="b">
        <f t="shared" si="0"/>
        <v>1</v>
      </c>
      <c r="F30" s="1" t="s">
        <v>38</v>
      </c>
    </row>
    <row r="31" spans="1:10" x14ac:dyDescent="0.4">
      <c r="A31" s="1" t="s">
        <v>55</v>
      </c>
      <c r="B31" s="1">
        <v>113</v>
      </c>
      <c r="C31" s="1">
        <v>1250</v>
      </c>
      <c r="D31" s="1">
        <v>2</v>
      </c>
      <c r="E31" s="1" t="b">
        <f t="shared" si="0"/>
        <v>1</v>
      </c>
      <c r="F31" s="1" t="s">
        <v>38</v>
      </c>
    </row>
    <row r="32" spans="1:10" x14ac:dyDescent="0.4">
      <c r="A32" s="1" t="s">
        <v>68</v>
      </c>
      <c r="B32" s="1">
        <v>113</v>
      </c>
      <c r="C32" s="1">
        <v>1250</v>
      </c>
      <c r="D32" s="1">
        <v>4</v>
      </c>
      <c r="E32" s="1" t="b">
        <f t="shared" si="0"/>
        <v>1</v>
      </c>
      <c r="F32" s="1" t="s">
        <v>38</v>
      </c>
    </row>
    <row r="33" spans="1:10" x14ac:dyDescent="0.4">
      <c r="A33" s="1" t="s">
        <v>69</v>
      </c>
      <c r="B33" s="1">
        <v>113</v>
      </c>
      <c r="C33" s="1">
        <v>1250</v>
      </c>
      <c r="D33" s="1">
        <v>4</v>
      </c>
      <c r="E33" s="1" t="b">
        <f t="shared" si="0"/>
        <v>1</v>
      </c>
      <c r="F33" s="1" t="s">
        <v>38</v>
      </c>
    </row>
    <row r="34" spans="1:10" x14ac:dyDescent="0.4">
      <c r="A34" s="1" t="s">
        <v>71</v>
      </c>
      <c r="B34" s="1">
        <v>113</v>
      </c>
      <c r="C34" s="1">
        <v>1250</v>
      </c>
      <c r="D34" s="1">
        <v>4</v>
      </c>
      <c r="E34" s="1" t="b">
        <f t="shared" si="0"/>
        <v>1</v>
      </c>
      <c r="F34" s="1" t="s">
        <v>38</v>
      </c>
    </row>
    <row r="35" spans="1:10" x14ac:dyDescent="0.4">
      <c r="A35" s="1" t="s">
        <v>43</v>
      </c>
      <c r="B35" s="1">
        <v>113</v>
      </c>
      <c r="C35" s="1">
        <v>1500</v>
      </c>
      <c r="D35" s="1">
        <v>1</v>
      </c>
      <c r="E35" s="1" t="b">
        <f t="shared" si="0"/>
        <v>1</v>
      </c>
      <c r="F35" s="1" t="s">
        <v>38</v>
      </c>
      <c r="I35" s="2"/>
      <c r="J35" s="2"/>
    </row>
    <row r="36" spans="1:10" x14ac:dyDescent="0.4">
      <c r="A36" s="1" t="s">
        <v>46</v>
      </c>
      <c r="B36" s="1">
        <v>113</v>
      </c>
      <c r="C36" s="1">
        <v>1500</v>
      </c>
      <c r="D36" s="1">
        <v>1</v>
      </c>
      <c r="E36" s="1" t="b">
        <f t="shared" si="0"/>
        <v>1</v>
      </c>
      <c r="F36" s="1" t="s">
        <v>38</v>
      </c>
      <c r="I36" s="2"/>
      <c r="J36" s="2"/>
    </row>
    <row r="37" spans="1:10" x14ac:dyDescent="0.4">
      <c r="A37" s="1" t="s">
        <v>53</v>
      </c>
      <c r="B37" s="1">
        <v>113</v>
      </c>
      <c r="C37" s="1">
        <v>1500</v>
      </c>
      <c r="D37" s="1">
        <v>2</v>
      </c>
      <c r="E37" s="1" t="b">
        <f t="shared" si="0"/>
        <v>1</v>
      </c>
      <c r="F37" s="1" t="s">
        <v>38</v>
      </c>
    </row>
    <row r="38" spans="1:10" x14ac:dyDescent="0.4">
      <c r="A38" s="1" t="s">
        <v>54</v>
      </c>
      <c r="B38" s="1">
        <v>113</v>
      </c>
      <c r="C38" s="1">
        <v>1500</v>
      </c>
      <c r="D38" s="1">
        <v>2</v>
      </c>
      <c r="E38" s="1" t="b">
        <f t="shared" si="0"/>
        <v>1</v>
      </c>
      <c r="F38" s="1" t="s">
        <v>38</v>
      </c>
    </row>
    <row r="39" spans="1:10" x14ac:dyDescent="0.4">
      <c r="A39" s="1" t="s">
        <v>59</v>
      </c>
      <c r="B39" s="1">
        <v>113</v>
      </c>
      <c r="C39" s="1">
        <v>1500</v>
      </c>
      <c r="D39" s="1">
        <v>3</v>
      </c>
      <c r="E39" s="1" t="b">
        <f t="shared" si="0"/>
        <v>1</v>
      </c>
      <c r="F39" s="1" t="s">
        <v>38</v>
      </c>
    </row>
    <row r="40" spans="1:10" x14ac:dyDescent="0.4">
      <c r="A40" s="1" t="s">
        <v>62</v>
      </c>
      <c r="B40" s="1">
        <v>113</v>
      </c>
      <c r="C40" s="1">
        <v>1500</v>
      </c>
      <c r="D40" s="1">
        <v>3</v>
      </c>
      <c r="E40" s="1" t="b">
        <f t="shared" si="0"/>
        <v>1</v>
      </c>
      <c r="F40" s="1" t="s">
        <v>38</v>
      </c>
    </row>
    <row r="42" spans="1:10" x14ac:dyDescent="0.4">
      <c r="I42" s="2"/>
      <c r="J42" s="2"/>
    </row>
  </sheetData>
  <autoFilter ref="A3:F3" xr:uid="{41B923F2-3CC2-4CF6-9567-A62D0C246E44}">
    <sortState ref="A4:F40">
      <sortCondition ref="C3"/>
    </sortState>
  </autoFilter>
  <mergeCells count="2">
    <mergeCell ref="I7:J7"/>
    <mergeCell ref="I6:J6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AD954-2C56-4E26-A382-C27DBABE32ED}">
  <dimension ref="A1:K42"/>
  <sheetViews>
    <sheetView zoomScaleNormal="100" workbookViewId="0"/>
  </sheetViews>
  <sheetFormatPr defaultColWidth="8.88671875" defaultRowHeight="21" x14ac:dyDescent="0.4"/>
  <cols>
    <col min="1" max="6" width="18.6640625" style="4" customWidth="1"/>
    <col min="7" max="8" width="8.88671875" style="4"/>
    <col min="9" max="11" width="18.6640625" style="4" customWidth="1"/>
    <col min="12" max="16384" width="8.88671875" style="4"/>
  </cols>
  <sheetData>
    <row r="1" spans="1:11" x14ac:dyDescent="0.4">
      <c r="A1" s="4" t="s">
        <v>29</v>
      </c>
      <c r="B1" s="4">
        <v>1608</v>
      </c>
      <c r="I1" s="4" t="s">
        <v>63</v>
      </c>
    </row>
    <row r="3" spans="1:11" x14ac:dyDescent="0.4">
      <c r="A3" s="4" t="s">
        <v>26</v>
      </c>
      <c r="B3" s="4" t="s">
        <v>27</v>
      </c>
      <c r="C3" s="4" t="s">
        <v>0</v>
      </c>
      <c r="D3" s="4" t="s">
        <v>56</v>
      </c>
      <c r="E3" s="4" t="s">
        <v>28</v>
      </c>
      <c r="F3" s="4" t="s">
        <v>37</v>
      </c>
      <c r="I3" s="4" t="s">
        <v>26</v>
      </c>
      <c r="J3" s="4" t="s">
        <v>27</v>
      </c>
      <c r="K3" s="4" t="s">
        <v>0</v>
      </c>
    </row>
    <row r="4" spans="1:11" x14ac:dyDescent="0.4">
      <c r="A4" s="4" t="s">
        <v>86</v>
      </c>
      <c r="B4" s="4">
        <v>112</v>
      </c>
      <c r="C4" s="4">
        <v>500</v>
      </c>
      <c r="D4" s="4">
        <v>1</v>
      </c>
      <c r="E4" s="4" t="b">
        <f t="shared" ref="E4:E40" si="0">C4&lt;=$B$1</f>
        <v>1</v>
      </c>
      <c r="F4" s="4" t="s">
        <v>38</v>
      </c>
      <c r="I4" s="8" t="s">
        <v>78</v>
      </c>
      <c r="J4" s="8">
        <v>113</v>
      </c>
      <c r="K4" s="8">
        <v>1500</v>
      </c>
    </row>
    <row r="5" spans="1:11" x14ac:dyDescent="0.4">
      <c r="A5" s="4" t="s">
        <v>92</v>
      </c>
      <c r="B5" s="8">
        <v>112</v>
      </c>
      <c r="C5" s="4">
        <v>500</v>
      </c>
      <c r="D5" s="4">
        <v>2</v>
      </c>
      <c r="E5" s="4" t="b">
        <f t="shared" si="0"/>
        <v>1</v>
      </c>
      <c r="F5" s="4" t="s">
        <v>38</v>
      </c>
      <c r="I5" s="13" t="s">
        <v>64</v>
      </c>
      <c r="J5" s="13"/>
      <c r="K5" s="8">
        <f>SUM(K4:K4)</f>
        <v>1500</v>
      </c>
    </row>
    <row r="6" spans="1:11" x14ac:dyDescent="0.4">
      <c r="A6" s="4" t="s">
        <v>85</v>
      </c>
      <c r="B6" s="8">
        <v>112</v>
      </c>
      <c r="C6" s="4">
        <v>650</v>
      </c>
      <c r="D6" s="4">
        <v>1</v>
      </c>
      <c r="E6" s="4" t="b">
        <f t="shared" si="0"/>
        <v>1</v>
      </c>
      <c r="F6" s="4" t="s">
        <v>38</v>
      </c>
      <c r="I6" s="13" t="s">
        <v>66</v>
      </c>
      <c r="J6" s="13"/>
      <c r="K6" s="4">
        <f>$B$1-K5</f>
        <v>108</v>
      </c>
    </row>
    <row r="7" spans="1:11" x14ac:dyDescent="0.4">
      <c r="A7" s="4" t="s">
        <v>91</v>
      </c>
      <c r="B7" s="8">
        <v>112</v>
      </c>
      <c r="C7" s="4">
        <v>650</v>
      </c>
      <c r="D7" s="4">
        <v>2</v>
      </c>
      <c r="E7" s="4" t="b">
        <f t="shared" si="0"/>
        <v>1</v>
      </c>
      <c r="F7" s="4" t="s">
        <v>38</v>
      </c>
    </row>
    <row r="8" spans="1:11" x14ac:dyDescent="0.4">
      <c r="A8" s="4" t="s">
        <v>93</v>
      </c>
      <c r="B8" s="8">
        <v>112</v>
      </c>
      <c r="C8" s="4">
        <v>650</v>
      </c>
      <c r="D8" s="4">
        <v>2</v>
      </c>
      <c r="E8" s="4" t="b">
        <f t="shared" si="0"/>
        <v>1</v>
      </c>
      <c r="F8" s="4" t="s">
        <v>38</v>
      </c>
      <c r="I8" s="2"/>
      <c r="J8" s="2"/>
    </row>
    <row r="9" spans="1:11" x14ac:dyDescent="0.4">
      <c r="A9" s="4" t="s">
        <v>100</v>
      </c>
      <c r="B9" s="8">
        <v>112</v>
      </c>
      <c r="C9" s="4">
        <v>650</v>
      </c>
      <c r="D9" s="4">
        <v>3</v>
      </c>
      <c r="E9" s="4" t="b">
        <f t="shared" si="0"/>
        <v>1</v>
      </c>
      <c r="F9" s="4" t="s">
        <v>38</v>
      </c>
    </row>
    <row r="10" spans="1:11" x14ac:dyDescent="0.4">
      <c r="A10" s="4" t="s">
        <v>2</v>
      </c>
      <c r="B10" s="8">
        <v>112</v>
      </c>
      <c r="C10" s="4">
        <v>650</v>
      </c>
      <c r="D10" s="4">
        <v>3</v>
      </c>
      <c r="E10" s="4" t="b">
        <f t="shared" si="0"/>
        <v>1</v>
      </c>
      <c r="F10" s="4" t="s">
        <v>38</v>
      </c>
    </row>
    <row r="11" spans="1:11" x14ac:dyDescent="0.4">
      <c r="A11" s="4" t="s">
        <v>101</v>
      </c>
      <c r="B11" s="4">
        <v>112</v>
      </c>
      <c r="C11" s="4">
        <v>650</v>
      </c>
      <c r="D11" s="4">
        <v>3</v>
      </c>
      <c r="E11" s="4" t="b">
        <f t="shared" si="0"/>
        <v>1</v>
      </c>
      <c r="F11" s="4" t="s">
        <v>38</v>
      </c>
    </row>
    <row r="12" spans="1:11" x14ac:dyDescent="0.4">
      <c r="A12" s="4" t="s">
        <v>83</v>
      </c>
      <c r="B12" s="4">
        <v>112</v>
      </c>
      <c r="C12" s="4">
        <v>800</v>
      </c>
      <c r="D12" s="4">
        <v>1</v>
      </c>
      <c r="E12" s="4" t="b">
        <f t="shared" si="0"/>
        <v>1</v>
      </c>
      <c r="F12" s="4" t="s">
        <v>38</v>
      </c>
    </row>
    <row r="13" spans="1:11" x14ac:dyDescent="0.4">
      <c r="A13" s="4" t="s">
        <v>84</v>
      </c>
      <c r="B13" s="4">
        <v>112</v>
      </c>
      <c r="C13" s="4">
        <v>800</v>
      </c>
      <c r="D13" s="4">
        <v>1</v>
      </c>
      <c r="E13" s="4" t="b">
        <f t="shared" si="0"/>
        <v>1</v>
      </c>
      <c r="F13" s="4" t="s">
        <v>38</v>
      </c>
    </row>
    <row r="14" spans="1:11" x14ac:dyDescent="0.4">
      <c r="A14" s="4" t="s">
        <v>89</v>
      </c>
      <c r="B14" s="8">
        <v>113</v>
      </c>
      <c r="C14" s="4">
        <v>800</v>
      </c>
      <c r="D14" s="4">
        <v>2</v>
      </c>
      <c r="E14" s="4" t="b">
        <f t="shared" si="0"/>
        <v>1</v>
      </c>
      <c r="F14" s="4" t="s">
        <v>38</v>
      </c>
      <c r="I14" s="2"/>
      <c r="J14" s="2"/>
    </row>
    <row r="15" spans="1:11" x14ac:dyDescent="0.4">
      <c r="A15" s="4" t="s">
        <v>94</v>
      </c>
      <c r="B15" s="8">
        <v>112</v>
      </c>
      <c r="C15" s="4">
        <v>800</v>
      </c>
      <c r="D15" s="4">
        <v>2</v>
      </c>
      <c r="E15" s="4" t="b">
        <f t="shared" si="0"/>
        <v>1</v>
      </c>
      <c r="F15" s="4" t="s">
        <v>38</v>
      </c>
      <c r="I15" s="2"/>
      <c r="J15" s="2"/>
    </row>
    <row r="16" spans="1:11" x14ac:dyDescent="0.4">
      <c r="A16" s="4" t="s">
        <v>99</v>
      </c>
      <c r="B16" s="8">
        <v>113</v>
      </c>
      <c r="C16" s="4">
        <v>800</v>
      </c>
      <c r="D16" s="4">
        <v>3</v>
      </c>
      <c r="E16" s="4" t="b">
        <f t="shared" si="0"/>
        <v>1</v>
      </c>
      <c r="F16" s="4" t="s">
        <v>38</v>
      </c>
    </row>
    <row r="17" spans="1:10" x14ac:dyDescent="0.4">
      <c r="A17" s="4" t="s">
        <v>102</v>
      </c>
      <c r="B17" s="8">
        <v>112</v>
      </c>
      <c r="C17" s="4">
        <v>800</v>
      </c>
      <c r="D17" s="4">
        <v>3</v>
      </c>
      <c r="E17" s="4" t="b">
        <f t="shared" si="0"/>
        <v>1</v>
      </c>
      <c r="F17" s="4" t="s">
        <v>38</v>
      </c>
    </row>
    <row r="18" spans="1:10" x14ac:dyDescent="0.4">
      <c r="A18" s="4" t="s">
        <v>82</v>
      </c>
      <c r="B18" s="8">
        <v>113</v>
      </c>
      <c r="C18" s="4">
        <v>1000</v>
      </c>
      <c r="D18" s="4">
        <v>1</v>
      </c>
      <c r="E18" s="4" t="b">
        <f t="shared" si="0"/>
        <v>1</v>
      </c>
      <c r="F18" s="4" t="s">
        <v>38</v>
      </c>
    </row>
    <row r="19" spans="1:10" x14ac:dyDescent="0.4">
      <c r="A19" s="4" t="s">
        <v>79</v>
      </c>
      <c r="B19" s="8">
        <v>113</v>
      </c>
      <c r="C19" s="4">
        <v>1000</v>
      </c>
      <c r="D19" s="4">
        <v>1</v>
      </c>
      <c r="E19" s="4" t="b">
        <f t="shared" si="0"/>
        <v>1</v>
      </c>
      <c r="F19" s="4" t="s">
        <v>38</v>
      </c>
    </row>
    <row r="20" spans="1:10" x14ac:dyDescent="0.4">
      <c r="A20" s="4" t="s">
        <v>96</v>
      </c>
      <c r="B20" s="8">
        <v>113</v>
      </c>
      <c r="C20" s="4">
        <v>1000</v>
      </c>
      <c r="D20" s="4">
        <v>3</v>
      </c>
      <c r="E20" s="4" t="b">
        <f t="shared" si="0"/>
        <v>1</v>
      </c>
      <c r="F20" s="4" t="s">
        <v>38</v>
      </c>
    </row>
    <row r="21" spans="1:10" x14ac:dyDescent="0.4">
      <c r="A21" s="4" t="s">
        <v>81</v>
      </c>
      <c r="B21" s="8">
        <v>113</v>
      </c>
      <c r="C21" s="4">
        <v>1250</v>
      </c>
      <c r="D21" s="4">
        <v>1</v>
      </c>
      <c r="E21" s="4" t="b">
        <f t="shared" si="0"/>
        <v>1</v>
      </c>
      <c r="F21" s="4" t="s">
        <v>40</v>
      </c>
      <c r="I21" s="2"/>
      <c r="J21" s="2"/>
    </row>
    <row r="22" spans="1:10" x14ac:dyDescent="0.4">
      <c r="A22" s="4" t="s">
        <v>88</v>
      </c>
      <c r="B22" s="8">
        <v>113</v>
      </c>
      <c r="C22" s="4">
        <v>1250</v>
      </c>
      <c r="D22" s="4">
        <v>2</v>
      </c>
      <c r="E22" s="4" t="b">
        <f t="shared" si="0"/>
        <v>1</v>
      </c>
      <c r="F22" s="4" t="s">
        <v>38</v>
      </c>
      <c r="I22" s="2"/>
      <c r="J22" s="2"/>
    </row>
    <row r="23" spans="1:10" x14ac:dyDescent="0.4">
      <c r="A23" s="4" t="s">
        <v>90</v>
      </c>
      <c r="B23" s="8">
        <v>113</v>
      </c>
      <c r="C23" s="4">
        <v>1250</v>
      </c>
      <c r="D23" s="4">
        <v>2</v>
      </c>
      <c r="E23" s="4" t="b">
        <f t="shared" si="0"/>
        <v>1</v>
      </c>
      <c r="F23" s="4" t="s">
        <v>38</v>
      </c>
    </row>
    <row r="24" spans="1:10" x14ac:dyDescent="0.4">
      <c r="A24" s="4" t="s">
        <v>97</v>
      </c>
      <c r="B24" s="4">
        <v>113</v>
      </c>
      <c r="C24" s="4">
        <v>1250</v>
      </c>
      <c r="D24" s="4">
        <v>3</v>
      </c>
      <c r="E24" s="4" t="b">
        <f t="shared" si="0"/>
        <v>1</v>
      </c>
      <c r="F24" s="4" t="s">
        <v>38</v>
      </c>
    </row>
    <row r="25" spans="1:10" x14ac:dyDescent="0.4">
      <c r="A25" s="4" t="s">
        <v>78</v>
      </c>
      <c r="B25" s="4">
        <v>113</v>
      </c>
      <c r="C25" s="4">
        <v>1500</v>
      </c>
      <c r="D25" s="4">
        <v>1</v>
      </c>
      <c r="E25" s="4" t="b">
        <f t="shared" si="0"/>
        <v>1</v>
      </c>
      <c r="F25" s="4" t="s">
        <v>38</v>
      </c>
    </row>
    <row r="26" spans="1:10" x14ac:dyDescent="0.4">
      <c r="A26" s="4" t="s">
        <v>87</v>
      </c>
      <c r="B26" s="4">
        <v>113</v>
      </c>
      <c r="C26" s="4">
        <v>1500</v>
      </c>
      <c r="D26" s="4">
        <v>2</v>
      </c>
      <c r="E26" s="4" t="b">
        <f t="shared" si="0"/>
        <v>1</v>
      </c>
      <c r="F26" s="4" t="s">
        <v>40</v>
      </c>
    </row>
    <row r="27" spans="1:10" x14ac:dyDescent="0.4">
      <c r="A27" s="4" t="s">
        <v>98</v>
      </c>
      <c r="B27" s="4">
        <v>113</v>
      </c>
      <c r="C27" s="4">
        <v>1500</v>
      </c>
      <c r="D27" s="4">
        <v>3</v>
      </c>
      <c r="E27" s="4" t="b">
        <f t="shared" si="0"/>
        <v>1</v>
      </c>
      <c r="F27" s="4" t="s">
        <v>38</v>
      </c>
    </row>
    <row r="28" spans="1:10" x14ac:dyDescent="0.4">
      <c r="E28" s="4" t="b">
        <f t="shared" si="0"/>
        <v>1</v>
      </c>
      <c r="F28" s="4" t="s">
        <v>38</v>
      </c>
      <c r="I28" s="2"/>
      <c r="J28" s="2"/>
    </row>
    <row r="29" spans="1:10" x14ac:dyDescent="0.4">
      <c r="E29" s="4" t="b">
        <f t="shared" si="0"/>
        <v>1</v>
      </c>
      <c r="F29" s="4" t="s">
        <v>38</v>
      </c>
      <c r="I29" s="2"/>
      <c r="J29" s="2"/>
    </row>
    <row r="30" spans="1:10" x14ac:dyDescent="0.4">
      <c r="E30" s="4" t="b">
        <f t="shared" si="0"/>
        <v>1</v>
      </c>
      <c r="F30" s="4" t="s">
        <v>38</v>
      </c>
    </row>
    <row r="31" spans="1:10" x14ac:dyDescent="0.4">
      <c r="E31" s="4" t="b">
        <f t="shared" si="0"/>
        <v>1</v>
      </c>
      <c r="F31" s="4" t="s">
        <v>38</v>
      </c>
    </row>
    <row r="32" spans="1:10" x14ac:dyDescent="0.4">
      <c r="E32" s="4" t="b">
        <f t="shared" si="0"/>
        <v>1</v>
      </c>
      <c r="F32" s="4" t="s">
        <v>38</v>
      </c>
    </row>
    <row r="33" spans="5:10" x14ac:dyDescent="0.4">
      <c r="E33" s="4" t="b">
        <f t="shared" si="0"/>
        <v>1</v>
      </c>
      <c r="F33" s="4" t="s">
        <v>38</v>
      </c>
    </row>
    <row r="34" spans="5:10" x14ac:dyDescent="0.4">
      <c r="E34" s="4" t="b">
        <f t="shared" si="0"/>
        <v>1</v>
      </c>
      <c r="F34" s="4" t="s">
        <v>38</v>
      </c>
    </row>
    <row r="35" spans="5:10" x14ac:dyDescent="0.4">
      <c r="E35" s="4" t="b">
        <f t="shared" si="0"/>
        <v>1</v>
      </c>
      <c r="F35" s="4" t="s">
        <v>38</v>
      </c>
      <c r="I35" s="2"/>
      <c r="J35" s="2"/>
    </row>
    <row r="36" spans="5:10" x14ac:dyDescent="0.4">
      <c r="E36" s="4" t="b">
        <f t="shared" si="0"/>
        <v>1</v>
      </c>
      <c r="F36" s="4" t="s">
        <v>38</v>
      </c>
      <c r="I36" s="2"/>
      <c r="J36" s="2"/>
    </row>
    <row r="37" spans="5:10" x14ac:dyDescent="0.4">
      <c r="E37" s="4" t="b">
        <f t="shared" si="0"/>
        <v>1</v>
      </c>
      <c r="F37" s="4" t="s">
        <v>38</v>
      </c>
    </row>
    <row r="38" spans="5:10" x14ac:dyDescent="0.4">
      <c r="E38" s="4" t="b">
        <f t="shared" si="0"/>
        <v>1</v>
      </c>
      <c r="F38" s="4" t="s">
        <v>38</v>
      </c>
    </row>
    <row r="39" spans="5:10" x14ac:dyDescent="0.4">
      <c r="E39" s="4" t="b">
        <f t="shared" si="0"/>
        <v>1</v>
      </c>
      <c r="F39" s="4" t="s">
        <v>38</v>
      </c>
    </row>
    <row r="40" spans="5:10" x14ac:dyDescent="0.4">
      <c r="E40" s="4" t="b">
        <f t="shared" si="0"/>
        <v>1</v>
      </c>
      <c r="F40" s="4" t="s">
        <v>38</v>
      </c>
    </row>
    <row r="42" spans="5:10" x14ac:dyDescent="0.4">
      <c r="I42" s="2"/>
      <c r="J42" s="2"/>
    </row>
  </sheetData>
  <autoFilter ref="A3:F3" xr:uid="{41B923F2-3CC2-4CF6-9567-A62D0C246E44}">
    <sortState ref="A4:F40">
      <sortCondition ref="C3"/>
    </sortState>
  </autoFilter>
  <mergeCells count="2">
    <mergeCell ref="I6:J6"/>
    <mergeCell ref="I5:J5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Lineup</vt:lpstr>
      <vt:lpstr>Ragnarok After Day Break</vt:lpstr>
      <vt:lpstr>2nd Anniversary</vt:lpstr>
      <vt:lpstr>Footyverse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2025-08-12T10:57:30Z</dcterms:created>
  <dcterms:modified xsi:type="dcterms:W3CDTF">2025-11-11T05:52:23Z</dcterms:modified>
</cp:coreProperties>
</file>